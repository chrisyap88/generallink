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Assumptions" sheetId="1" state="visible" r:id="rId3"/>
    <sheet name="GroundZeroSetup" sheetId="2" state="visible" r:id="rId4"/>
    <sheet name="TeamPayroll" sheetId="3" state="visible" r:id="rId5"/>
    <sheet name="HostingAPIs" sheetId="4" state="visible" r:id="rId6"/>
    <sheet name="OfficeAdmin" sheetId="5" state="visible" r:id="rId7"/>
    <sheet name="ScalingModel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<sst xmlns="http://schemas.openxmlformats.org/spreadsheetml/2006/main" count="234" uniqueCount="208">
  <si>
    <t xml:space="preserve">GeneralLink Turnkey Outsourcing — Costing Assumptions (all figures in MYR)</t>
  </si>
  <si>
    <t xml:space="preserve">Edit any blue figure below — every other tab recalculates from these inputs.</t>
  </si>
  <si>
    <t xml:space="preserve">Statutory On-Costs (Employer Side)</t>
  </si>
  <si>
    <t xml:space="preserve">Assumption</t>
  </si>
  <si>
    <t xml:space="preserve">Value</t>
  </si>
  <si>
    <t xml:space="preserve">Source / Note</t>
  </si>
  <si>
    <t xml:space="preserve">EPF employer rate — wages ≤ RM5,000/month</t>
  </si>
  <si>
    <t xml:space="preserve">KWSP statutory rate 2026 (ajobthing.com, swingvy.com)</t>
  </si>
  <si>
    <t xml:space="preserve">EPF employer rate — wages &gt; RM5,000/month</t>
  </si>
  <si>
    <t xml:space="preserve">KWSP statutory rate 2026</t>
  </si>
  <si>
    <t xml:space="preserve">SOCSO employer rate</t>
  </si>
  <si>
    <t xml:space="preserve">PERKESO 2026, capped at wage ceiling below</t>
  </si>
  <si>
    <t xml:space="preserve">SOCSO monthly wage ceiling (RM)</t>
  </si>
  <si>
    <t xml:space="preserve">PERKESO 2026 ceiling</t>
  </si>
  <si>
    <t xml:space="preserve">EIS employer rate</t>
  </si>
  <si>
    <t xml:space="preserve">SOCSO EIS 2026, capped at wage ceiling below</t>
  </si>
  <si>
    <t xml:space="preserve">EIS monthly wage ceiling (RM)</t>
  </si>
  <si>
    <t xml:space="preserve">SOCSO EIS 2026 ceiling</t>
  </si>
  <si>
    <t xml:space="preserve">Annual bonus provision (months of salary)</t>
  </si>
  <si>
    <t xml:space="preserve">Assumption — standard 1-month contractual bonus. Adjust to your policy.</t>
  </si>
  <si>
    <t xml:space="preserve">Group medical/hospitalisation insurance (RM/employee/year)</t>
  </si>
  <si>
    <t xml:space="preserve">Estimate — Malaysia SME group H&amp;S plans typically RM600-1,500/pax/yr. Get a broker quote (Allianz/AIA SME plans) to firm this up.</t>
  </si>
  <si>
    <t xml:space="preserve">Office</t>
  </si>
  <si>
    <t xml:space="preserve">Monthly office rent — small private/serviced office, Klang Valley (RM)</t>
  </si>
  <si>
    <t xml:space="preserve">Estimate — serviced offices RM415-780/pax/mo, traditional ~RM3-5 psf (klofficeshoplotfactory.com, sandboxco.space)</t>
  </si>
  <si>
    <t xml:space="preserve">Rent deposit (months, paid once at setup)</t>
  </si>
  <si>
    <t xml:space="preserve">Standard Malaysia commercial lease practice (2 deposit + 1 advance)</t>
  </si>
  <si>
    <t xml:space="preserve">Monthly utilities &amp; internet (RM)</t>
  </si>
  <si>
    <t xml:space="preserve">Estimate for a 4-6 pax small office</t>
  </si>
  <si>
    <t xml:space="preserve">Hosting &amp; Infrastructure Scaling</t>
  </si>
  <si>
    <t xml:space="preserve">Base VPS hosting — covers up to 1 scaling tier of users (RM/month)</t>
  </si>
  <si>
    <t xml:space="preserve">DigitalOcean 4GB/2vCPU Droplet, Singapore DC — quoted 14 Aug 2026 (digitalocean.com/pricing/droplets)</t>
  </si>
  <si>
    <t xml:space="preserve">Hosting step-up per additional user tier (RM/month)</t>
  </si>
  <si>
    <t xml:space="preserve">Estimate — next VPS size tier (8GB/16GB) as user base grows</t>
  </si>
  <si>
    <t xml:space="preserve">Domain renewal, .my (RM/year)</t>
  </si>
  <si>
    <t xml:space="preserve">Typical .my domain renewal rate</t>
  </si>
  <si>
    <t xml:space="preserve">SSL certificate (RM/year)</t>
  </si>
  <si>
    <t xml:space="preserve">Let's Encrypt — free, auto-renewing. No cost unless a paid EV/OV cert is wanted later.</t>
  </si>
  <si>
    <t xml:space="preserve">Database engine licence</t>
  </si>
  <si>
    <t xml:space="preserve">MySQL Community Edition — free &amp; open-source. No licence fee at any scale.</t>
  </si>
  <si>
    <t xml:space="preserve">AI Assistant &amp; Communication APIs (usage-based — scale with users)</t>
  </si>
  <si>
    <t xml:space="preserve">Claude AI (Carolyn assistant) — avg tokens per interaction</t>
  </si>
  <si>
    <t xml:space="preserve">Estimate — a typical write-assist/chat exchange. Adjust as usage data comes in.</t>
  </si>
  <si>
    <t xml:space="preserve">Claude AI blended rate (RM per 1,000,000 tokens)</t>
  </si>
  <si>
    <t xml:space="preserve">Claude Sonnet 5: US$2/$10 per M in/out tokens through 31 Aug 2026, blended ~US$6/M × ~4.7 MYR (anthropic.com, cloudzero.com)</t>
  </si>
  <si>
    <t xml:space="preserve">AI interactions per user per month</t>
  </si>
  <si>
    <t xml:space="preserve">Estimate — onboarding help, message drafting, etc.</t>
  </si>
  <si>
    <t xml:space="preserve">ElevenLabs voice API (RM/month, starting tier)</t>
  </si>
  <si>
    <t xml:space="preserve">Estimate — entry tier; upgrade as voice feature usage grows</t>
  </si>
  <si>
    <t xml:space="preserve">WhatsApp Business API — BSP platform fee (RM/month)</t>
  </si>
  <si>
    <t xml:space="preserve">Typical BSP fee range RM150-1,200/mo (whautomate.com, forwardchat.my)</t>
  </si>
  <si>
    <t xml:space="preserve">WhatsApp utility/notification message rate (RM/message)</t>
  </si>
  <si>
    <t xml:space="preserve">Meta 2026 Malaysia utility message rate ~RM0.0564 (go4whatsup.com)</t>
  </si>
  <si>
    <t xml:space="preserve">WhatsApp messages per user per month</t>
  </si>
  <si>
    <t xml:space="preserve">Estimate — 1 notification per active user per month</t>
  </si>
  <si>
    <t xml:space="preserve">Google Workspace (RM/user/month, professional email)</t>
  </si>
  <si>
    <t xml:space="preserve">Google Workspace Business Starter, per staff mailbox</t>
  </si>
  <si>
    <t xml:space="preserve">Accounting/bookkeeping software (RM/month)</t>
  </si>
  <si>
    <t xml:space="preserve">Estimate — SQL Account / AutoCount entry tier</t>
  </si>
  <si>
    <t xml:space="preserve">Scaling Tiers &amp; Support Ratio</t>
  </si>
  <si>
    <t xml:space="preserve">Users per scaling tier</t>
  </si>
  <si>
    <t xml:space="preserve">Per Chris's brief: cost scales in blocks of 10,000 users</t>
  </si>
  <si>
    <t xml:space="preserve">Support/ops headcount needed per additional tier</t>
  </si>
  <si>
    <t xml:space="preserve">Estimate — 1 support staff per ~10,000 active users</t>
  </si>
  <si>
    <t xml:space="preserve">Starting assumed monthly platform sales volume (RM)</t>
  </si>
  <si>
    <t xml:space="preserve">Per Chris's brief — actual customer sales volume unknown, use RM10,000/month as the opening benchmark</t>
  </si>
  <si>
    <t xml:space="preserve">Estimated active users — end of Year 1</t>
  </si>
  <si>
    <t xml:space="preserve">Ramp-up assumption for Year 1 operating cost — adjust to your go-to-market plan</t>
  </si>
  <si>
    <t xml:space="preserve">Estimated active users — end of Year 2</t>
  </si>
  <si>
    <t xml:space="preserve">Growth assumption</t>
  </si>
  <si>
    <t xml:space="preserve">Estimated active users — end of Year 3</t>
  </si>
  <si>
    <t xml:space="preserve">Commercial Margin</t>
  </si>
  <si>
    <t xml:space="preserve">Proposed margin on 3-year cost base</t>
  </si>
  <si>
    <t xml:space="preserve">Covers business risk, project management, profit. Typical outsourced-turnkey margin 15-30% — adjust freely.</t>
  </si>
  <si>
    <t xml:space="preserve">Ground-Zero Setup — One-Time Costs (Month 0)</t>
  </si>
  <si>
    <t xml:space="preserve">Item</t>
  </si>
  <si>
    <t xml:space="preserve">Qty</t>
  </si>
  <si>
    <t xml:space="preserve">Unit Cost (RM)</t>
  </si>
  <si>
    <t xml:space="preserve">Total (RM)</t>
  </si>
  <si>
    <t xml:space="preserve">Notes</t>
  </si>
  <si>
    <t xml:space="preserve">Office rental deposit (2 deposit + 1 advance)</t>
  </si>
  <si>
    <t xml:space="preserve">-</t>
  </si>
  <si>
    <t xml:space="preserve">Linked to Assumptions: monthly rent x deposit months</t>
  </si>
  <si>
    <t xml:space="preserve">Minor office renovation / signage</t>
  </si>
  <si>
    <t xml:space="preserve">Paint, signage, basic partition — estimate</t>
  </si>
  <si>
    <t xml:space="preserve">Office furniture — desks, chairs, cabinet (4 pax)</t>
  </si>
  <si>
    <t xml:space="preserve">Estimate, RM1,500/workstation set</t>
  </si>
  <si>
    <t xml:space="preserve">Business laptops</t>
  </si>
  <si>
    <t xml:space="preserve">Mid-spec business laptop, Malaysia retail estimate</t>
  </si>
  <si>
    <t xml:space="preserve">All-in-one printer/scanner</t>
  </si>
  <si>
    <t xml:space="preserve">Laser AIO printer, Malaysia retail estimate</t>
  </si>
  <si>
    <t xml:space="preserve">Company mobile device (ops/QA testing phone)</t>
  </si>
  <si>
    <t xml:space="preserve">Mid-range Android/iOS test device</t>
  </si>
  <si>
    <t xml:space="preserve">Network setup — router, switch, cabling</t>
  </si>
  <si>
    <t xml:space="preserve">Estimate</t>
  </si>
  <si>
    <t xml:space="preserve">IT security setup — antivirus, firewall, backup tooling (Yr1 licence)</t>
  </si>
  <si>
    <t xml:space="preserve">Estimate, annual licence bundle</t>
  </si>
  <si>
    <t xml:space="preserve">Company registration — SSM Sdn Bhd incorporation</t>
  </si>
  <si>
    <t xml:space="preserve">One-time incorporation fee, if not already registered</t>
  </si>
  <si>
    <t xml:space="preserve">Legal — service agreement, SLA &amp; data-protection agreement drafting</t>
  </si>
  <si>
    <t xml:space="preserve">Recommended given customer data/PDPA exposure — get a lawyer to draft/review</t>
  </si>
  <si>
    <t xml:space="preserve">Domain registration — Year 1</t>
  </si>
  <si>
    <t xml:space="preserve">Linked to Assumptions: .my domain, Year 1</t>
  </si>
  <si>
    <t xml:space="preserve">TOTAL GROUND-ZERO SETUP (ONE-TIME)</t>
  </si>
  <si>
    <t xml:space="preserve">Team &amp; Payroll — Headcount and Fully-Loaded Employer Cost</t>
  </si>
  <si>
    <t xml:space="preserve">Fully-loaded cost = monthly salary x12 + EPF + SOCSO + EIS + bonus provision + medical insurance (rates from Assumptions tab).</t>
  </si>
  <si>
    <t xml:space="preserve">Role</t>
  </si>
  <si>
    <t xml:space="preserve">Year 1 HC</t>
  </si>
  <si>
    <t xml:space="preserve">Year 2 HC</t>
  </si>
  <si>
    <t xml:space="preserve">Year 3 HC</t>
  </si>
  <si>
    <t xml:space="preserve">Monthly Salary/head (RM)</t>
  </si>
  <si>
    <t xml:space="preserve">Year 1 Fully-Loaded Cost (RM)</t>
  </si>
  <si>
    <t xml:space="preserve">Year 2 Fully-Loaded Cost (RM)</t>
  </si>
  <si>
    <t xml:space="preserve">Year 3 Fully-Loaded Cost (RM)</t>
  </si>
  <si>
    <t xml:space="preserve">Project Lead / Founder</t>
  </si>
  <si>
    <t xml:space="preserve">Full-Stack Developer (Laravel/PHP) — maintenance &amp; enhancements</t>
  </si>
  <si>
    <t xml:space="preserve">Customer Support &amp; Vendor/Agent Relations Officer</t>
  </si>
  <si>
    <t xml:space="preserve">Admin / Finance Executive</t>
  </si>
  <si>
    <t xml:space="preserve">DevOps / Security Consultant (retainer basis)</t>
  </si>
  <si>
    <t xml:space="preserve">TOTAL HEADCOUNT</t>
  </si>
  <si>
    <t xml:space="preserve">TOTAL PAYROLL COST (fully-loaded)</t>
  </si>
  <si>
    <t xml:space="preserve">Note: Malaysia Employment Act annual leave (8-16 days depending on tenure) and public holidays are paid leave already funded within the monthly salary above — not a separate cost line.</t>
  </si>
  <si>
    <t xml:space="preserve">Headcount grows with the user base — see the Scaling Model tab for the ratio used (1 support/ops hire per additional 10,000 active users) and adjust Year 2/3 HC above to match your actual sales pipeline.</t>
  </si>
  <si>
    <t xml:space="preserve">Hosting, Subscriptions &amp; APIs — Monthly Recurring Cost by Year</t>
  </si>
  <si>
    <t xml:space="preserve">Scales automatically with the estimated active-user figures on the Assumptions tab.</t>
  </si>
  <si>
    <t xml:space="preserve">Item (monthly)</t>
  </si>
  <si>
    <t xml:space="preserve">Year 1 (RM/mo)</t>
  </si>
  <si>
    <t xml:space="preserve">Year 2 (RM/mo)</t>
  </si>
  <si>
    <t xml:space="preserve">Year 3 (RM/mo)</t>
  </si>
  <si>
    <t xml:space="preserve">VPS hosting (steps up per 10,000-user tier)</t>
  </si>
  <si>
    <t xml:space="preserve">DigitalOcean 4GB Droplet base + step-up per additional user tier</t>
  </si>
  <si>
    <t xml:space="preserve">Domain + SSL (annualised)</t>
  </si>
  <si>
    <t xml:space="preserve">Domain renewal only — SSL is free (Let's Encrypt)</t>
  </si>
  <si>
    <t xml:space="preserve">Claude AI assistant (Carolyn) — usage-based</t>
  </si>
  <si>
    <t xml:space="preserve">Users x interactions/user x tokens/interaction, at blended Claude rate</t>
  </si>
  <si>
    <t xml:space="preserve">ElevenLabs voice API</t>
  </si>
  <si>
    <t xml:space="preserve">Flat starting-tier estimate — review/upgrade as voice usage grows</t>
  </si>
  <si>
    <t xml:space="preserve">WhatsApp Business API (BSP + messages)</t>
  </si>
  <si>
    <t xml:space="preserve">BSP platform fee + per-user notification volume</t>
  </si>
  <si>
    <t xml:space="preserve">Google Workspace (professional email, per staff)</t>
  </si>
  <si>
    <t xml:space="preserve">Linked to Team &amp; Payroll headcount total for that year</t>
  </si>
  <si>
    <t xml:space="preserve">Accounting / bookkeeping software</t>
  </si>
  <si>
    <t xml:space="preserve">Flat monthly estimate</t>
  </si>
  <si>
    <t xml:space="preserve">MySQL database engine</t>
  </si>
  <si>
    <t xml:space="preserve">Community Edition — RM0, no licence fee at any scale</t>
  </si>
  <si>
    <t xml:space="preserve">TOTAL MONTHLY RECURRING (technical)</t>
  </si>
  <si>
    <t xml:space="preserve">TOTAL ANNUAL (technical, x12)</t>
  </si>
  <si>
    <t xml:space="preserve">Office &amp; Admin Overheads — Annual Cost by Year</t>
  </si>
  <si>
    <t xml:space="preserve">Item (annual)</t>
  </si>
  <si>
    <t xml:space="preserve">Year 1 (RM)</t>
  </si>
  <si>
    <t xml:space="preserve">Year 2 (RM)</t>
  </si>
  <si>
    <t xml:space="preserve">Year 3 (RM)</t>
  </si>
  <si>
    <t xml:space="preserve">Office rent (annualised)</t>
  </si>
  <si>
    <t xml:space="preserve">Linked to Assumptions monthly rent. Revisit if team outgrows the space by Year 3.</t>
  </si>
  <si>
    <t xml:space="preserve">Utilities &amp; internet (annualised)</t>
  </si>
  <si>
    <t xml:space="preserve">Linked to Assumptions</t>
  </si>
  <si>
    <t xml:space="preserve">Company secretary retainer (statutory, Sdn Bhd)</t>
  </si>
  <si>
    <t xml:space="preserve">SSM-mandated company secretary, typical small-company retainer</t>
  </si>
  <si>
    <t xml:space="preserve">Bookkeeping, tax filing &amp; annual audit-exemption service</t>
  </si>
  <si>
    <t xml:space="preserve">Outsourced accountant/tax agent package</t>
  </si>
  <si>
    <t xml:space="preserve">Professional indemnity / cyber liability insurance</t>
  </si>
  <si>
    <t xml:space="preserve">Recommended — platform handles customer &amp; vendor personal/financial data</t>
  </si>
  <si>
    <t xml:space="preserve">General business insurance (equipment, fire, burglary)</t>
  </si>
  <si>
    <t xml:space="preserve">Covers office equipment and premises</t>
  </si>
  <si>
    <t xml:space="preserve">TOTAL OFFICE &amp; ADMIN OVERHEAD (annual)</t>
  </si>
  <si>
    <t xml:space="preserve">Scaling Model — Cost to Serve, by User Tier (blocks of 10,000 users)</t>
  </si>
  <si>
    <t xml:space="preserve">Illustrates unlimited-user capacity: every additional 10,000 users adds a predictable, transparent slice of cost.</t>
  </si>
  <si>
    <t xml:space="preserve">Users</t>
  </si>
  <si>
    <t xml:space="preserve">Hosting (RM/mo)</t>
  </si>
  <si>
    <t xml:space="preserve">AI Assistant (RM/mo)</t>
  </si>
  <si>
    <t xml:space="preserve">WhatsApp (RM/mo)</t>
  </si>
  <si>
    <t xml:space="preserve">Support HC</t>
  </si>
  <si>
    <t xml:space="preserve">Support Payroll (RM/mo)</t>
  </si>
  <si>
    <t xml:space="preserve">TOTAL Cost to Serve (RM/mo)</t>
  </si>
  <si>
    <t xml:space="preserve">Cost / User (RM)</t>
  </si>
  <si>
    <t xml:space="preserve">Starting assumed platform sales volume: RM10,000/month (per Chris's brief). Each further RM10,000/month of transaction volume is expected to track roughly with the same 10,000-user support ratio above — revisit once real usage data comes in.</t>
  </si>
  <si>
    <t xml:space="preserve">3-Year Cost Summary &amp; Proposed Project Sum</t>
  </si>
  <si>
    <t xml:space="preserve">Cost Category</t>
  </si>
  <si>
    <t xml:space="preserve">3-Year Total (RM)</t>
  </si>
  <si>
    <t xml:space="preserve">Ground-zero setup (one-time, Year 1 only)</t>
  </si>
  <si>
    <t xml:space="preserve">0</t>
  </si>
  <si>
    <t xml:space="preserve">Team &amp; payroll (fully-loaded)</t>
  </si>
  <si>
    <t xml:space="preserve">Hosting, subscriptions &amp; APIs (annual)</t>
  </si>
  <si>
    <t xml:space="preserve">Office &amp; admin overheads (annual)</t>
  </si>
  <si>
    <t xml:space="preserve">TOTAL COST BASE</t>
  </si>
  <si>
    <t xml:space="preserve">Proposed Commercial Terms</t>
  </si>
  <si>
    <t xml:space="preserve">Margin applied (from Assumptions tab)</t>
  </si>
  <si>
    <t xml:space="preserve">PROPOSED PROJECT SUM (by year)</t>
  </si>
  <si>
    <t xml:space="preserve">TOTAL 3-YEAR PROPOSED PROJECT SUM</t>
  </si>
  <si>
    <t xml:space="preserve">Suggested Payment / Retainer Schedule</t>
  </si>
  <si>
    <t xml:space="preserve">Milestone</t>
  </si>
  <si>
    <t xml:space="preserve">Timing</t>
  </si>
  <si>
    <t xml:space="preserve">% of Year Sum</t>
  </si>
  <si>
    <t xml:space="preserve">Amount (RM)</t>
  </si>
  <si>
    <t xml:space="preserve">Year 1 — mobilisation payment</t>
  </si>
  <si>
    <t xml:space="preserve">On signing (covers ground-zero setup + Month 1-2 ops)</t>
  </si>
  <si>
    <t xml:space="preserve">Year 1 — progress payment</t>
  </si>
  <si>
    <t xml:space="preserve">Month 6</t>
  </si>
  <si>
    <t xml:space="preserve">Year 1 — completion payment</t>
  </si>
  <si>
    <t xml:space="preserve">Month 12</t>
  </si>
  <si>
    <t xml:space="preserve">Year 2 — monthly retainer</t>
  </si>
  <si>
    <t xml:space="preserve">Billed monthly in advance</t>
  </si>
  <si>
    <t xml:space="preserve">Year 3 — monthly retainer</t>
  </si>
  <si>
    <t xml:space="preserve">Notes &amp; exclusions:</t>
  </si>
  <si>
    <t xml:space="preserve">• Figures are a planning-grade estimate built from current (Aug 2026) Malaysia market benchmarks — see Assumptions tab for every rate and its source.</t>
  </si>
  <si>
    <t xml:space="preserve">• Excludes: payment gateway/merchant fees (add once a gateway is chosen), paid marketing/advertising spend, statutory corporate income tax, and any custom feature scope beyond the current GeneralLink master spec.</t>
  </si>
  <si>
    <t xml:space="preserve">• Hosting and API costs are usage-based formulas — actual spend will track real user/transaction volume, not just the illustrative Year 1-3 ramp assumed here.</t>
  </si>
  <si>
    <t xml:space="preserve">• Review and re-quote if actual monthly sales volume materially exceeds the RM10,000/month starting assumption, since support headcount is the main cost driver at scale.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</si>
</sst>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&quot;RM &quot;#,##0"/>
    <numFmt numFmtId="167" formatCode="0.0"/>
    <numFmt numFmtId="168" formatCode="0"/>
    <numFmt numFmtId="169" formatCode="#,##0"/>
    <numFmt numFmtId="170" formatCode="&quot;RM &quot;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8"/>
      <color rgb="FF71809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5A8E"/>
        <bgColor rgb="FF008080"/>
      </patternFill>
    </fill>
    <fill>
      <patternFill patternType="solid">
        <fgColor rgb="FF1B9AE4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8F5E9"/>
        <bgColor rgb="FFFFFFFF"/>
      </patternFill>
    </fill>
    <fill>
      <patternFill patternType="solid">
        <fgColor rgb="FF38A16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EBF2"/>
      </left>
      <right style="thin">
        <color rgb="FFB2EBF2"/>
      </right>
      <top style="thin">
        <color rgb="FFB2EBF2"/>
      </top>
      <bottom style="thin">
        <color rgb="FFB2EB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E8F5E9"/>
      <rgbColor rgb="FFB2EBF2"/>
      <rgbColor rgb="FF660066"/>
      <rgbColor rgb="FFFF8080"/>
      <rgbColor rgb="FF0D5A8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B9AE4"/>
      <rgbColor rgb="FF99CC00"/>
      <rgbColor rgb="FFFFCC00"/>
      <rgbColor rgb="FFFF9900"/>
      <rgbColor rgb="FFFF6600"/>
      <rgbColor rgb="FF666699"/>
      <rgbColor rgb="FF969696"/>
      <rgbColor rgb="FF003366"/>
      <rgbColor rgb="FF38A16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0.13</v>
      </c>
      <c r="C6" s="7" t="s">
        <v>7</v>
      </c>
    </row>
    <row r="7" customFormat="false" ht="15" hidden="false" customHeight="false" outlineLevel="0" collapsed="false">
      <c r="A7" s="5" t="s">
        <v>8</v>
      </c>
      <c r="B7" s="6" t="n">
        <v>0.12</v>
      </c>
      <c r="C7" s="7" t="s">
        <v>9</v>
      </c>
    </row>
    <row r="8" customFormat="false" ht="15" hidden="false" customHeight="false" outlineLevel="0" collapsed="false">
      <c r="A8" s="5" t="s">
        <v>10</v>
      </c>
      <c r="B8" s="6" t="n">
        <v>0.0175</v>
      </c>
      <c r="C8" s="7" t="s">
        <v>11</v>
      </c>
    </row>
    <row r="9" customFormat="false" ht="15" hidden="false" customHeight="false" outlineLevel="0" collapsed="false">
      <c r="A9" s="5" t="s">
        <v>12</v>
      </c>
      <c r="B9" s="8" t="n">
        <v>6000</v>
      </c>
      <c r="C9" s="7" t="s">
        <v>13</v>
      </c>
    </row>
    <row r="10" customFormat="false" ht="15" hidden="false" customHeight="false" outlineLevel="0" collapsed="false">
      <c r="A10" s="5" t="s">
        <v>14</v>
      </c>
      <c r="B10" s="6" t="n">
        <v>0.002</v>
      </c>
      <c r="C10" s="7" t="s">
        <v>15</v>
      </c>
    </row>
    <row r="11" customFormat="false" ht="15" hidden="false" customHeight="false" outlineLevel="0" collapsed="false">
      <c r="A11" s="5" t="s">
        <v>16</v>
      </c>
      <c r="B11" s="8" t="n">
        <v>6000</v>
      </c>
      <c r="C11" s="7" t="s">
        <v>17</v>
      </c>
    </row>
    <row r="12" customFormat="false" ht="15" hidden="false" customHeight="false" outlineLevel="0" collapsed="false">
      <c r="A12" s="5" t="s">
        <v>18</v>
      </c>
      <c r="B12" s="9" t="n">
        <v>1</v>
      </c>
      <c r="C12" s="7" t="s">
        <v>19</v>
      </c>
    </row>
    <row r="13" customFormat="false" ht="15" hidden="false" customHeight="false" outlineLevel="0" collapsed="false">
      <c r="A13" s="5" t="s">
        <v>20</v>
      </c>
      <c r="B13" s="8" t="n">
        <v>1000</v>
      </c>
      <c r="C13" s="7" t="s">
        <v>21</v>
      </c>
    </row>
    <row r="15" customFormat="false" ht="19.5" hidden="false" customHeight="true" outlineLevel="0" collapsed="false">
      <c r="A15" s="3" t="s">
        <v>22</v>
      </c>
      <c r="B15" s="3"/>
      <c r="C15" s="3"/>
    </row>
    <row r="16" customFormat="false" ht="27.75" hidden="false" customHeight="true" outlineLevel="0" collapsed="false">
      <c r="A16" s="4" t="s">
        <v>3</v>
      </c>
      <c r="B16" s="4" t="s">
        <v>4</v>
      </c>
      <c r="C16" s="4" t="s">
        <v>5</v>
      </c>
    </row>
    <row r="17" customFormat="false" ht="15" hidden="false" customHeight="false" outlineLevel="0" collapsed="false">
      <c r="A17" s="5" t="s">
        <v>23</v>
      </c>
      <c r="B17" s="8" t="n">
        <v>2500</v>
      </c>
      <c r="C17" s="7" t="s">
        <v>24</v>
      </c>
    </row>
    <row r="18" customFormat="false" ht="15" hidden="false" customHeight="false" outlineLevel="0" collapsed="false">
      <c r="A18" s="5" t="s">
        <v>25</v>
      </c>
      <c r="B18" s="10" t="n">
        <v>3</v>
      </c>
      <c r="C18" s="7" t="s">
        <v>26</v>
      </c>
    </row>
    <row r="19" customFormat="false" ht="15" hidden="false" customHeight="false" outlineLevel="0" collapsed="false">
      <c r="A19" s="5" t="s">
        <v>27</v>
      </c>
      <c r="B19" s="8" t="n">
        <v>600</v>
      </c>
      <c r="C19" s="7" t="s">
        <v>28</v>
      </c>
    </row>
    <row r="21" customFormat="false" ht="19.5" hidden="false" customHeight="true" outlineLevel="0" collapsed="false">
      <c r="A21" s="3" t="s">
        <v>29</v>
      </c>
      <c r="B21" s="3"/>
      <c r="C21" s="3"/>
    </row>
    <row r="22" customFormat="false" ht="27.75" hidden="false" customHeight="true" outlineLevel="0" collapsed="false">
      <c r="A22" s="4" t="s">
        <v>3</v>
      </c>
      <c r="B22" s="4" t="s">
        <v>4</v>
      </c>
      <c r="C22" s="4" t="s">
        <v>5</v>
      </c>
    </row>
    <row r="23" customFormat="false" ht="15" hidden="false" customHeight="false" outlineLevel="0" collapsed="false">
      <c r="A23" s="5" t="s">
        <v>30</v>
      </c>
      <c r="B23" s="8" t="n">
        <v>113</v>
      </c>
      <c r="C23" s="7" t="s">
        <v>31</v>
      </c>
    </row>
    <row r="24" customFormat="false" ht="15" hidden="false" customHeight="false" outlineLevel="0" collapsed="false">
      <c r="A24" s="5" t="s">
        <v>32</v>
      </c>
      <c r="B24" s="8" t="n">
        <v>150</v>
      </c>
      <c r="C24" s="7" t="s">
        <v>33</v>
      </c>
    </row>
    <row r="25" customFormat="false" ht="15" hidden="false" customHeight="false" outlineLevel="0" collapsed="false">
      <c r="A25" s="5" t="s">
        <v>34</v>
      </c>
      <c r="B25" s="8" t="n">
        <v>80</v>
      </c>
      <c r="C25" s="7" t="s">
        <v>35</v>
      </c>
    </row>
    <row r="26" customFormat="false" ht="15" hidden="false" customHeight="false" outlineLevel="0" collapsed="false">
      <c r="A26" s="5" t="s">
        <v>36</v>
      </c>
      <c r="B26" s="8" t="n">
        <v>0</v>
      </c>
      <c r="C26" s="7" t="s">
        <v>37</v>
      </c>
    </row>
    <row r="27" customFormat="false" ht="15" hidden="false" customHeight="false" outlineLevel="0" collapsed="false">
      <c r="A27" s="5" t="s">
        <v>38</v>
      </c>
      <c r="B27" s="8" t="n">
        <v>0</v>
      </c>
      <c r="C27" s="7" t="s">
        <v>39</v>
      </c>
    </row>
    <row r="29" customFormat="false" ht="19.5" hidden="false" customHeight="true" outlineLevel="0" collapsed="false">
      <c r="A29" s="3" t="s">
        <v>40</v>
      </c>
      <c r="B29" s="3"/>
      <c r="C29" s="3"/>
    </row>
    <row r="30" customFormat="false" ht="27.75" hidden="false" customHeight="true" outlineLevel="0" collapsed="false">
      <c r="A30" s="4" t="s">
        <v>3</v>
      </c>
      <c r="B30" s="4" t="s">
        <v>4</v>
      </c>
      <c r="C30" s="4" t="s">
        <v>5</v>
      </c>
    </row>
    <row r="31" customFormat="false" ht="15" hidden="false" customHeight="false" outlineLevel="0" collapsed="false">
      <c r="A31" s="5" t="s">
        <v>41</v>
      </c>
      <c r="B31" s="11" t="n">
        <v>2000</v>
      </c>
      <c r="C31" s="7" t="s">
        <v>42</v>
      </c>
    </row>
    <row r="32" customFormat="false" ht="15" hidden="false" customHeight="false" outlineLevel="0" collapsed="false">
      <c r="A32" s="5" t="s">
        <v>43</v>
      </c>
      <c r="B32" s="8" t="n">
        <v>28</v>
      </c>
      <c r="C32" s="7" t="s">
        <v>44</v>
      </c>
    </row>
    <row r="33" customFormat="false" ht="15" hidden="false" customHeight="false" outlineLevel="0" collapsed="false">
      <c r="A33" s="5" t="s">
        <v>45</v>
      </c>
      <c r="B33" s="9" t="n">
        <v>2</v>
      </c>
      <c r="C33" s="7" t="s">
        <v>46</v>
      </c>
    </row>
    <row r="34" customFormat="false" ht="15" hidden="false" customHeight="false" outlineLevel="0" collapsed="false">
      <c r="A34" s="5" t="s">
        <v>47</v>
      </c>
      <c r="B34" s="8" t="n">
        <v>100</v>
      </c>
      <c r="C34" s="7" t="s">
        <v>48</v>
      </c>
    </row>
    <row r="35" customFormat="false" ht="15" hidden="false" customHeight="false" outlineLevel="0" collapsed="false">
      <c r="A35" s="5" t="s">
        <v>49</v>
      </c>
      <c r="B35" s="8" t="n">
        <v>300</v>
      </c>
      <c r="C35" s="7" t="s">
        <v>50</v>
      </c>
    </row>
    <row r="36" customFormat="false" ht="15" hidden="false" customHeight="false" outlineLevel="0" collapsed="false">
      <c r="A36" s="5" t="s">
        <v>51</v>
      </c>
      <c r="B36" s="12" t="n">
        <v>0.06</v>
      </c>
      <c r="C36" s="7" t="s">
        <v>52</v>
      </c>
    </row>
    <row r="37" customFormat="false" ht="15" hidden="false" customHeight="false" outlineLevel="0" collapsed="false">
      <c r="A37" s="5" t="s">
        <v>53</v>
      </c>
      <c r="B37" s="9" t="n">
        <v>1</v>
      </c>
      <c r="C37" s="7" t="s">
        <v>54</v>
      </c>
    </row>
    <row r="38" customFormat="false" ht="15" hidden="false" customHeight="false" outlineLevel="0" collapsed="false">
      <c r="A38" s="5" t="s">
        <v>55</v>
      </c>
      <c r="B38" s="8" t="n">
        <v>25</v>
      </c>
      <c r="C38" s="7" t="s">
        <v>56</v>
      </c>
    </row>
    <row r="39" customFormat="false" ht="15" hidden="false" customHeight="false" outlineLevel="0" collapsed="false">
      <c r="A39" s="5" t="s">
        <v>57</v>
      </c>
      <c r="B39" s="8" t="n">
        <v>100</v>
      </c>
      <c r="C39" s="7" t="s">
        <v>58</v>
      </c>
    </row>
    <row r="41" customFormat="false" ht="19.5" hidden="false" customHeight="true" outlineLevel="0" collapsed="false">
      <c r="A41" s="3" t="s">
        <v>59</v>
      </c>
      <c r="B41" s="3"/>
      <c r="C41" s="3"/>
    </row>
    <row r="42" customFormat="false" ht="27.75" hidden="false" customHeight="true" outlineLevel="0" collapsed="false">
      <c r="A42" s="4" t="s">
        <v>3</v>
      </c>
      <c r="B42" s="4" t="s">
        <v>4</v>
      </c>
      <c r="C42" s="4" t="s">
        <v>5</v>
      </c>
    </row>
    <row r="43" customFormat="false" ht="15" hidden="false" customHeight="false" outlineLevel="0" collapsed="false">
      <c r="A43" s="5" t="s">
        <v>60</v>
      </c>
      <c r="B43" s="11" t="n">
        <v>10000</v>
      </c>
      <c r="C43" s="7" t="s">
        <v>61</v>
      </c>
    </row>
    <row r="44" customFormat="false" ht="15" hidden="false" customHeight="false" outlineLevel="0" collapsed="false">
      <c r="A44" s="5" t="s">
        <v>62</v>
      </c>
      <c r="B44" s="9" t="n">
        <v>1</v>
      </c>
      <c r="C44" s="7" t="s">
        <v>63</v>
      </c>
    </row>
    <row r="45" customFormat="false" ht="15" hidden="false" customHeight="false" outlineLevel="0" collapsed="false">
      <c r="A45" s="5" t="s">
        <v>64</v>
      </c>
      <c r="B45" s="8" t="n">
        <v>10000</v>
      </c>
      <c r="C45" s="7" t="s">
        <v>65</v>
      </c>
    </row>
    <row r="46" customFormat="false" ht="15" hidden="false" customHeight="false" outlineLevel="0" collapsed="false">
      <c r="A46" s="5" t="s">
        <v>66</v>
      </c>
      <c r="B46" s="11" t="n">
        <v>2500</v>
      </c>
      <c r="C46" s="7" t="s">
        <v>67</v>
      </c>
    </row>
    <row r="47" customFormat="false" ht="15" hidden="false" customHeight="false" outlineLevel="0" collapsed="false">
      <c r="A47" s="5" t="s">
        <v>68</v>
      </c>
      <c r="B47" s="11" t="n">
        <v>15000</v>
      </c>
      <c r="C47" s="7" t="s">
        <v>69</v>
      </c>
    </row>
    <row r="48" customFormat="false" ht="15" hidden="false" customHeight="false" outlineLevel="0" collapsed="false">
      <c r="A48" s="5" t="s">
        <v>70</v>
      </c>
      <c r="B48" s="11" t="n">
        <v>35000</v>
      </c>
      <c r="C48" s="7" t="s">
        <v>69</v>
      </c>
    </row>
    <row r="50" customFormat="false" ht="19.5" hidden="false" customHeight="true" outlineLevel="0" collapsed="false">
      <c r="A50" s="3" t="s">
        <v>71</v>
      </c>
      <c r="B50" s="3"/>
      <c r="C50" s="3"/>
    </row>
    <row r="51" customFormat="false" ht="27.75" hidden="false" customHeight="true" outlineLevel="0" collapsed="false">
      <c r="A51" s="4" t="s">
        <v>3</v>
      </c>
      <c r="B51" s="4" t="s">
        <v>4</v>
      </c>
      <c r="C51" s="4" t="s">
        <v>5</v>
      </c>
    </row>
    <row r="52" customFormat="false" ht="15" hidden="false" customHeight="false" outlineLevel="0" collapsed="false">
      <c r="A52" s="5" t="s">
        <v>72</v>
      </c>
      <c r="B52" s="6" t="n">
        <v>0.2</v>
      </c>
      <c r="C52" s="7" t="s">
        <v>73</v>
      </c>
    </row>
  </sheetData>
  <mergeCells count="7">
    <mergeCell ref="A1:D1"/>
    <mergeCell ref="A4:C4"/>
    <mergeCell ref="A15:C15"/>
    <mergeCell ref="A21:C21"/>
    <mergeCell ref="A29:C29"/>
    <mergeCell ref="A41:C41"/>
    <mergeCell ref="A50:C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5" min="5" style="0" width="46"/>
  </cols>
  <sheetData>
    <row r="1" customFormat="false" ht="25.5" hidden="false" customHeight="true" outlineLevel="0" collapsed="false">
      <c r="A1" s="1" t="s">
        <v>74</v>
      </c>
      <c r="B1" s="1"/>
      <c r="C1" s="1"/>
      <c r="D1" s="1"/>
      <c r="E1" s="1"/>
    </row>
    <row r="3" customFormat="false" ht="27.75" hidden="false" customHeight="true" outlineLevel="0" collapsed="false">
      <c r="A3" s="4" t="s">
        <v>75</v>
      </c>
      <c r="B3" s="4" t="s">
        <v>76</v>
      </c>
      <c r="C3" s="4" t="s">
        <v>77</v>
      </c>
      <c r="D3" s="4" t="s">
        <v>78</v>
      </c>
      <c r="E3" s="4" t="s">
        <v>79</v>
      </c>
    </row>
    <row r="4" customFormat="false" ht="15" hidden="false" customHeight="false" outlineLevel="0" collapsed="false">
      <c r="A4" s="5" t="s">
        <v>80</v>
      </c>
      <c r="B4" s="13" t="s">
        <v>81</v>
      </c>
      <c r="C4" s="13" t="s">
        <v>81</v>
      </c>
      <c r="D4" s="14" t="n">
        <f aca="false">Assumptions!$B$17*Assumptions!$B$18</f>
        <v>7500</v>
      </c>
      <c r="E4" s="7" t="s">
        <v>82</v>
      </c>
    </row>
    <row r="5" customFormat="false" ht="15" hidden="false" customHeight="false" outlineLevel="0" collapsed="false">
      <c r="A5" s="5" t="s">
        <v>83</v>
      </c>
      <c r="B5" s="15" t="n">
        <v>1</v>
      </c>
      <c r="C5" s="16" t="n">
        <v>2000</v>
      </c>
      <c r="D5" s="17" t="n">
        <f aca="false">B5*C5</f>
        <v>2000</v>
      </c>
      <c r="E5" s="7" t="s">
        <v>84</v>
      </c>
    </row>
    <row r="6" customFormat="false" ht="15" hidden="false" customHeight="false" outlineLevel="0" collapsed="false">
      <c r="A6" s="5" t="s">
        <v>85</v>
      </c>
      <c r="B6" s="15" t="n">
        <v>4</v>
      </c>
      <c r="C6" s="16" t="n">
        <v>1500</v>
      </c>
      <c r="D6" s="17" t="n">
        <f aca="false">B6*C6</f>
        <v>6000</v>
      </c>
      <c r="E6" s="7" t="s">
        <v>86</v>
      </c>
    </row>
    <row r="7" customFormat="false" ht="15" hidden="false" customHeight="false" outlineLevel="0" collapsed="false">
      <c r="A7" s="5" t="s">
        <v>87</v>
      </c>
      <c r="B7" s="15" t="n">
        <v>4</v>
      </c>
      <c r="C7" s="16" t="n">
        <v>3500</v>
      </c>
      <c r="D7" s="17" t="n">
        <f aca="false">B7*C7</f>
        <v>14000</v>
      </c>
      <c r="E7" s="7" t="s">
        <v>88</v>
      </c>
    </row>
    <row r="8" customFormat="false" ht="15" hidden="false" customHeight="false" outlineLevel="0" collapsed="false">
      <c r="A8" s="5" t="s">
        <v>89</v>
      </c>
      <c r="B8" s="15" t="n">
        <v>1</v>
      </c>
      <c r="C8" s="16" t="n">
        <v>1200</v>
      </c>
      <c r="D8" s="17" t="n">
        <f aca="false">B8*C8</f>
        <v>1200</v>
      </c>
      <c r="E8" s="7" t="s">
        <v>90</v>
      </c>
    </row>
    <row r="9" customFormat="false" ht="15" hidden="false" customHeight="false" outlineLevel="0" collapsed="false">
      <c r="A9" s="5" t="s">
        <v>91</v>
      </c>
      <c r="B9" s="15" t="n">
        <v>1</v>
      </c>
      <c r="C9" s="16" t="n">
        <v>1200</v>
      </c>
      <c r="D9" s="17" t="n">
        <f aca="false">B9*C9</f>
        <v>1200</v>
      </c>
      <c r="E9" s="7" t="s">
        <v>92</v>
      </c>
    </row>
    <row r="10" customFormat="false" ht="15" hidden="false" customHeight="false" outlineLevel="0" collapsed="false">
      <c r="A10" s="5" t="s">
        <v>93</v>
      </c>
      <c r="B10" s="15" t="n">
        <v>1</v>
      </c>
      <c r="C10" s="16" t="n">
        <v>500</v>
      </c>
      <c r="D10" s="17" t="n">
        <f aca="false">B10*C10</f>
        <v>500</v>
      </c>
      <c r="E10" s="7" t="s">
        <v>94</v>
      </c>
    </row>
    <row r="11" customFormat="false" ht="15" hidden="false" customHeight="false" outlineLevel="0" collapsed="false">
      <c r="A11" s="5" t="s">
        <v>95</v>
      </c>
      <c r="B11" s="15" t="n">
        <v>1</v>
      </c>
      <c r="C11" s="16" t="n">
        <v>800</v>
      </c>
      <c r="D11" s="17" t="n">
        <f aca="false">B11*C11</f>
        <v>800</v>
      </c>
      <c r="E11" s="7" t="s">
        <v>96</v>
      </c>
    </row>
    <row r="12" customFormat="false" ht="15" hidden="false" customHeight="false" outlineLevel="0" collapsed="false">
      <c r="A12" s="5" t="s">
        <v>97</v>
      </c>
      <c r="B12" s="15" t="n">
        <v>1</v>
      </c>
      <c r="C12" s="16" t="n">
        <v>1500</v>
      </c>
      <c r="D12" s="17" t="n">
        <f aca="false">B12*C12</f>
        <v>1500</v>
      </c>
      <c r="E12" s="7" t="s">
        <v>98</v>
      </c>
    </row>
    <row r="13" customFormat="false" ht="15" hidden="false" customHeight="false" outlineLevel="0" collapsed="false">
      <c r="A13" s="5" t="s">
        <v>99</v>
      </c>
      <c r="B13" s="15" t="n">
        <v>1</v>
      </c>
      <c r="C13" s="16" t="n">
        <v>3000</v>
      </c>
      <c r="D13" s="17" t="n">
        <f aca="false">B13*C13</f>
        <v>3000</v>
      </c>
      <c r="E13" s="7" t="s">
        <v>100</v>
      </c>
    </row>
    <row r="14" customFormat="false" ht="15" hidden="false" customHeight="false" outlineLevel="0" collapsed="false">
      <c r="A14" s="5" t="s">
        <v>101</v>
      </c>
      <c r="B14" s="13" t="s">
        <v>81</v>
      </c>
      <c r="C14" s="13" t="s">
        <v>81</v>
      </c>
      <c r="D14" s="14" t="n">
        <f aca="false">Assumptions!$B$25</f>
        <v>80</v>
      </c>
      <c r="E14" s="7" t="s">
        <v>102</v>
      </c>
    </row>
    <row r="15" customFormat="false" ht="15" hidden="false" customHeight="false" outlineLevel="0" collapsed="false">
      <c r="A15" s="18" t="s">
        <v>103</v>
      </c>
      <c r="B15" s="19"/>
      <c r="C15" s="19"/>
      <c r="D15" s="20" t="n">
        <f aca="false">SUM(D4:D14)</f>
        <v>37780</v>
      </c>
      <c r="E15" s="19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1"/>
    <col collapsed="false" customWidth="true" hidden="false" outlineLevel="0" max="8" min="5" style="0" width="18"/>
  </cols>
  <sheetData>
    <row r="1" customFormat="false" ht="25.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105</v>
      </c>
    </row>
    <row r="4" customFormat="false" ht="27.75" hidden="false" customHeight="true" outlineLevel="0" collapsed="false">
      <c r="A4" s="4" t="s">
        <v>106</v>
      </c>
      <c r="B4" s="4" t="s">
        <v>107</v>
      </c>
      <c r="C4" s="4" t="s">
        <v>108</v>
      </c>
      <c r="D4" s="4" t="s">
        <v>109</v>
      </c>
      <c r="E4" s="4" t="s">
        <v>110</v>
      </c>
      <c r="F4" s="4" t="s">
        <v>111</v>
      </c>
      <c r="G4" s="4" t="s">
        <v>112</v>
      </c>
      <c r="H4" s="4" t="s">
        <v>113</v>
      </c>
    </row>
    <row r="5" customFormat="false" ht="15" hidden="false" customHeight="false" outlineLevel="0" collapsed="false">
      <c r="A5" s="5" t="s">
        <v>114</v>
      </c>
      <c r="B5" s="21" t="n">
        <v>1</v>
      </c>
      <c r="C5" s="21" t="n">
        <v>1</v>
      </c>
      <c r="D5" s="21" t="n">
        <v>1</v>
      </c>
      <c r="E5" s="8" t="n">
        <v>10000</v>
      </c>
      <c r="F5" s="17" t="n">
        <f aca="false">B5*($E5*12+$E5*12*IF($E5&lt;=5000,Assumptions!$B$6,Assumptions!$B$7)+MIN($E5,Assumptions!$B$9)*Assumptions!$B$8*12+MIN($E5,Assumptions!$B$11)*Assumptions!$B$10*12+$E5*Assumptions!$B$12+Assumptions!$B$13)</f>
        <v>146804</v>
      </c>
      <c r="G5" s="17" t="n">
        <f aca="false">C5*($E5*12+$E5*12*IF($E5&lt;=5000,Assumptions!$B$6,Assumptions!$B$7)+MIN($E5,Assumptions!$B$9)*Assumptions!$B$8*12+MIN($E5,Assumptions!$B$11)*Assumptions!$B$10*12+$E5*Assumptions!$B$12+Assumptions!$B$13)</f>
        <v>146804</v>
      </c>
      <c r="H5" s="17" t="n">
        <f aca="false">D5*($E5*12+$E5*12*IF($E5&lt;=5000,Assumptions!$B$6,Assumptions!$B$7)+MIN($E5,Assumptions!$B$9)*Assumptions!$B$8*12+MIN($E5,Assumptions!$B$11)*Assumptions!$B$10*12+$E5*Assumptions!$B$12+Assumptions!$B$13)</f>
        <v>146804</v>
      </c>
    </row>
    <row r="6" customFormat="false" ht="15" hidden="false" customHeight="false" outlineLevel="0" collapsed="false">
      <c r="A6" s="5" t="s">
        <v>115</v>
      </c>
      <c r="B6" s="21" t="n">
        <v>1</v>
      </c>
      <c r="C6" s="21" t="n">
        <v>2</v>
      </c>
      <c r="D6" s="21" t="n">
        <v>3</v>
      </c>
      <c r="E6" s="8" t="n">
        <v>6500</v>
      </c>
      <c r="F6" s="17" t="n">
        <f aca="false">B6*($E6*12+$E6*12*IF($E6&lt;=5000,Assumptions!$B$6,Assumptions!$B$7)+MIN($E6,Assumptions!$B$9)*Assumptions!$B$8*12+MIN($E6,Assumptions!$B$11)*Assumptions!$B$10*12+$E6*Assumptions!$B$12+Assumptions!$B$13)</f>
        <v>96264</v>
      </c>
      <c r="G6" s="17" t="n">
        <f aca="false">C6*($E6*12+$E6*12*IF($E6&lt;=5000,Assumptions!$B$6,Assumptions!$B$7)+MIN($E6,Assumptions!$B$9)*Assumptions!$B$8*12+MIN($E6,Assumptions!$B$11)*Assumptions!$B$10*12+$E6*Assumptions!$B$12+Assumptions!$B$13)</f>
        <v>192528</v>
      </c>
      <c r="H6" s="17" t="n">
        <f aca="false">D6*($E6*12+$E6*12*IF($E6&lt;=5000,Assumptions!$B$6,Assumptions!$B$7)+MIN($E6,Assumptions!$B$9)*Assumptions!$B$8*12+MIN($E6,Assumptions!$B$11)*Assumptions!$B$10*12+$E6*Assumptions!$B$12+Assumptions!$B$13)</f>
        <v>288792</v>
      </c>
    </row>
    <row r="7" customFormat="false" ht="15" hidden="false" customHeight="false" outlineLevel="0" collapsed="false">
      <c r="A7" s="5" t="s">
        <v>116</v>
      </c>
      <c r="B7" s="21" t="n">
        <v>1</v>
      </c>
      <c r="C7" s="21" t="n">
        <v>2</v>
      </c>
      <c r="D7" s="21" t="n">
        <v>3</v>
      </c>
      <c r="E7" s="8" t="n">
        <v>3000</v>
      </c>
      <c r="F7" s="17" t="n">
        <f aca="false">B7*($E7*12+$E7*12*IF($E7&lt;=5000,Assumptions!$B$6,Assumptions!$B$7)+MIN($E7,Assumptions!$B$9)*Assumptions!$B$8*12+MIN($E7,Assumptions!$B$11)*Assumptions!$B$10*12+$E7*Assumptions!$B$12+Assumptions!$B$13)</f>
        <v>45382</v>
      </c>
      <c r="G7" s="17" t="n">
        <f aca="false">C7*($E7*12+$E7*12*IF($E7&lt;=5000,Assumptions!$B$6,Assumptions!$B$7)+MIN($E7,Assumptions!$B$9)*Assumptions!$B$8*12+MIN($E7,Assumptions!$B$11)*Assumptions!$B$10*12+$E7*Assumptions!$B$12+Assumptions!$B$13)</f>
        <v>90764</v>
      </c>
      <c r="H7" s="17" t="n">
        <f aca="false">D7*($E7*12+$E7*12*IF($E7&lt;=5000,Assumptions!$B$6,Assumptions!$B$7)+MIN($E7,Assumptions!$B$9)*Assumptions!$B$8*12+MIN($E7,Assumptions!$B$11)*Assumptions!$B$10*12+$E7*Assumptions!$B$12+Assumptions!$B$13)</f>
        <v>136146</v>
      </c>
    </row>
    <row r="8" customFormat="false" ht="15" hidden="false" customHeight="false" outlineLevel="0" collapsed="false">
      <c r="A8" s="5" t="s">
        <v>117</v>
      </c>
      <c r="B8" s="21" t="n">
        <v>0.5</v>
      </c>
      <c r="C8" s="21" t="n">
        <v>1</v>
      </c>
      <c r="D8" s="21" t="n">
        <v>1</v>
      </c>
      <c r="E8" s="8" t="n">
        <v>3600</v>
      </c>
      <c r="F8" s="17" t="n">
        <f aca="false">B8*($E8*12+$E8*12*IF($E8&lt;=5000,Assumptions!$B$6,Assumptions!$B$7)+MIN($E8,Assumptions!$B$9)*Assumptions!$B$8*12+MIN($E8,Assumptions!$B$11)*Assumptions!$B$10*12+$E8*Assumptions!$B$12+Assumptions!$B$13)</f>
        <v>27129.2</v>
      </c>
      <c r="G8" s="17" t="n">
        <f aca="false">C8*($E8*12+$E8*12*IF($E8&lt;=5000,Assumptions!$B$6,Assumptions!$B$7)+MIN($E8,Assumptions!$B$9)*Assumptions!$B$8*12+MIN($E8,Assumptions!$B$11)*Assumptions!$B$10*12+$E8*Assumptions!$B$12+Assumptions!$B$13)</f>
        <v>54258.4</v>
      </c>
      <c r="H8" s="17" t="n">
        <f aca="false">D8*($E8*12+$E8*12*IF($E8&lt;=5000,Assumptions!$B$6,Assumptions!$B$7)+MIN($E8,Assumptions!$B$9)*Assumptions!$B$8*12+MIN($E8,Assumptions!$B$11)*Assumptions!$B$10*12+$E8*Assumptions!$B$12+Assumptions!$B$13)</f>
        <v>54258.4</v>
      </c>
    </row>
    <row r="9" customFormat="false" ht="15" hidden="false" customHeight="false" outlineLevel="0" collapsed="false">
      <c r="A9" s="5" t="s">
        <v>118</v>
      </c>
      <c r="B9" s="21" t="n">
        <v>0</v>
      </c>
      <c r="C9" s="21" t="n">
        <v>0.25</v>
      </c>
      <c r="D9" s="21" t="n">
        <v>0.5</v>
      </c>
      <c r="E9" s="8" t="n">
        <v>5000</v>
      </c>
      <c r="F9" s="17" t="n">
        <f aca="false">B9*($E9*12+$E9*12*IF($E9&lt;=5000,Assumptions!$B$6,Assumptions!$B$7)+MIN($E9,Assumptions!$B$9)*Assumptions!$B$8*12+MIN($E9,Assumptions!$B$11)*Assumptions!$B$10*12+$E9*Assumptions!$B$12+Assumptions!$B$13)</f>
        <v>0</v>
      </c>
      <c r="G9" s="17" t="n">
        <f aca="false">C9*($E9*12+$E9*12*IF($E9&lt;=5000,Assumptions!$B$6,Assumptions!$B$7)+MIN($E9,Assumptions!$B$9)*Assumptions!$B$8*12+MIN($E9,Assumptions!$B$11)*Assumptions!$B$10*12+$E9*Assumptions!$B$12+Assumptions!$B$13)</f>
        <v>18742.5</v>
      </c>
      <c r="H9" s="17" t="n">
        <f aca="false">D9*($E9*12+$E9*12*IF($E9&lt;=5000,Assumptions!$B$6,Assumptions!$B$7)+MIN($E9,Assumptions!$B$9)*Assumptions!$B$8*12+MIN($E9,Assumptions!$B$11)*Assumptions!$B$10*12+$E9*Assumptions!$B$12+Assumptions!$B$13)</f>
        <v>37485</v>
      </c>
    </row>
    <row r="10" customFormat="false" ht="15" hidden="false" customHeight="false" outlineLevel="0" collapsed="false">
      <c r="A10" s="18" t="s">
        <v>119</v>
      </c>
      <c r="B10" s="22" t="n">
        <f aca="false">SUM(B5:B9)</f>
        <v>3.5</v>
      </c>
      <c r="C10" s="22" t="n">
        <f aca="false">SUM(C5:C9)</f>
        <v>6.25</v>
      </c>
      <c r="D10" s="22" t="n">
        <f aca="false">SUM(D5:D9)</f>
        <v>8.5</v>
      </c>
      <c r="E10" s="19"/>
      <c r="F10" s="19"/>
      <c r="G10" s="19"/>
      <c r="H10" s="19"/>
    </row>
    <row r="11" customFormat="false" ht="15" hidden="false" customHeight="false" outlineLevel="0" collapsed="false">
      <c r="A11" s="18" t="s">
        <v>120</v>
      </c>
      <c r="B11" s="19"/>
      <c r="C11" s="19"/>
      <c r="D11" s="19"/>
      <c r="E11" s="19"/>
      <c r="F11" s="20" t="n">
        <f aca="false">SUM(F5:F9)</f>
        <v>315579.2</v>
      </c>
      <c r="G11" s="20" t="n">
        <f aca="false">SUM(G5:G9)</f>
        <v>503096.9</v>
      </c>
      <c r="H11" s="20" t="n">
        <f aca="false">SUM(H5:H9)</f>
        <v>663485.4</v>
      </c>
    </row>
    <row r="13" customFormat="false" ht="15" hidden="false" customHeight="false" outlineLevel="0" collapsed="false">
      <c r="A13" s="2" t="s">
        <v>121</v>
      </c>
    </row>
    <row r="14" customFormat="false" ht="15" hidden="false" customHeight="false" outlineLevel="0" collapsed="false">
      <c r="A14" s="2" t="s">
        <v>122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46"/>
  </cols>
  <sheetData>
    <row r="1" customFormat="false" ht="25.5" hidden="false" customHeight="true" outlineLevel="0" collapsed="false">
      <c r="A1" s="1" t="s">
        <v>123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124</v>
      </c>
    </row>
    <row r="4" customFormat="false" ht="27.75" hidden="false" customHeight="true" outlineLevel="0" collapsed="false">
      <c r="A4" s="4" t="s">
        <v>125</v>
      </c>
      <c r="B4" s="4" t="s">
        <v>126</v>
      </c>
      <c r="C4" s="4" t="s">
        <v>127</v>
      </c>
      <c r="D4" s="4" t="s">
        <v>128</v>
      </c>
      <c r="E4" s="4" t="s">
        <v>79</v>
      </c>
    </row>
    <row r="5" customFormat="false" ht="15" hidden="false" customHeight="false" outlineLevel="0" collapsed="false">
      <c r="A5" s="5" t="s">
        <v>129</v>
      </c>
      <c r="B5" s="17" t="n">
        <f aca="false">Assumptions!$B$23+MAX(0,ROUNDUP(Assumptions!$B$46/Assumptions!$B$43,0)-1)*Assumptions!$B$24</f>
        <v>113</v>
      </c>
      <c r="C5" s="17" t="n">
        <f aca="false">Assumptions!$B$23+MAX(0,ROUNDUP(Assumptions!$B$47/Assumptions!$B$43,0)-1)*Assumptions!$B$24</f>
        <v>263</v>
      </c>
      <c r="D5" s="17" t="n">
        <f aca="false">Assumptions!$B$23+MAX(0,ROUNDUP(Assumptions!$B$48/Assumptions!$B$43,0)-1)*Assumptions!$B$24</f>
        <v>563</v>
      </c>
      <c r="E5" s="7" t="s">
        <v>130</v>
      </c>
    </row>
    <row r="6" customFormat="false" ht="15" hidden="false" customHeight="false" outlineLevel="0" collapsed="false">
      <c r="A6" s="5" t="s">
        <v>131</v>
      </c>
      <c r="B6" s="17" t="n">
        <f aca="false">(Assumptions!$B$25+Assumptions!$B$26)/12</f>
        <v>6.66666666666667</v>
      </c>
      <c r="C6" s="17" t="n">
        <f aca="false">(Assumptions!$B$25+Assumptions!$B$26)/12</f>
        <v>6.66666666666667</v>
      </c>
      <c r="D6" s="17" t="n">
        <f aca="false">(Assumptions!$B$25+Assumptions!$B$26)/12</f>
        <v>6.66666666666667</v>
      </c>
      <c r="E6" s="7" t="s">
        <v>132</v>
      </c>
    </row>
    <row r="7" customFormat="false" ht="15" hidden="false" customHeight="false" outlineLevel="0" collapsed="false">
      <c r="A7" s="5" t="s">
        <v>133</v>
      </c>
      <c r="B7" s="17" t="n">
        <f aca="false">Assumptions!$B$46*Assumptions!$B$33*Assumptions!$B$31/1000000*Assumptions!$B$32</f>
        <v>280</v>
      </c>
      <c r="C7" s="17" t="n">
        <f aca="false">Assumptions!$B$47*Assumptions!$B$33*Assumptions!$B$31/1000000*Assumptions!$B$32</f>
        <v>1680</v>
      </c>
      <c r="D7" s="17" t="n">
        <f aca="false">Assumptions!$B$48*Assumptions!$B$33*Assumptions!$B$31/1000000*Assumptions!$B$32</f>
        <v>3920</v>
      </c>
      <c r="E7" s="7" t="s">
        <v>134</v>
      </c>
    </row>
    <row r="8" customFormat="false" ht="15" hidden="false" customHeight="false" outlineLevel="0" collapsed="false">
      <c r="A8" s="5" t="s">
        <v>135</v>
      </c>
      <c r="B8" s="17" t="n">
        <f aca="false">Assumptions!$B$34</f>
        <v>100</v>
      </c>
      <c r="C8" s="17" t="n">
        <f aca="false">Assumptions!$B$34</f>
        <v>100</v>
      </c>
      <c r="D8" s="17" t="n">
        <f aca="false">Assumptions!$B$34</f>
        <v>100</v>
      </c>
      <c r="E8" s="7" t="s">
        <v>136</v>
      </c>
    </row>
    <row r="9" customFormat="false" ht="15" hidden="false" customHeight="false" outlineLevel="0" collapsed="false">
      <c r="A9" s="5" t="s">
        <v>137</v>
      </c>
      <c r="B9" s="17" t="n">
        <f aca="false">Assumptions!$B$35+Assumptions!$B$46*Assumptions!$B$37*Assumptions!$B$36</f>
        <v>450</v>
      </c>
      <c r="C9" s="17" t="n">
        <f aca="false">Assumptions!$B$35+Assumptions!$B$47*Assumptions!$B$37*Assumptions!$B$36</f>
        <v>1200</v>
      </c>
      <c r="D9" s="17" t="n">
        <f aca="false">Assumptions!$B$35+Assumptions!$B$48*Assumptions!$B$37*Assumptions!$B$36</f>
        <v>2400</v>
      </c>
      <c r="E9" s="7" t="s">
        <v>138</v>
      </c>
    </row>
    <row r="10" customFormat="false" ht="15" hidden="false" customHeight="false" outlineLevel="0" collapsed="false">
      <c r="A10" s="5" t="s">
        <v>139</v>
      </c>
      <c r="B10" s="14" t="n">
        <f aca="false">TeamPayroll!B$10*Assumptions!$B$38</f>
        <v>87.5</v>
      </c>
      <c r="C10" s="14" t="n">
        <f aca="false">TeamPayroll!C$10*Assumptions!$B$38</f>
        <v>156.25</v>
      </c>
      <c r="D10" s="14" t="n">
        <f aca="false">TeamPayroll!D$10*Assumptions!$B$38</f>
        <v>212.5</v>
      </c>
      <c r="E10" s="7" t="s">
        <v>140</v>
      </c>
    </row>
    <row r="11" customFormat="false" ht="15" hidden="false" customHeight="false" outlineLevel="0" collapsed="false">
      <c r="A11" s="5" t="s">
        <v>141</v>
      </c>
      <c r="B11" s="17" t="n">
        <f aca="false">Assumptions!$B$39</f>
        <v>100</v>
      </c>
      <c r="C11" s="17" t="n">
        <f aca="false">Assumptions!$B$39</f>
        <v>100</v>
      </c>
      <c r="D11" s="17" t="n">
        <f aca="false">Assumptions!$B$39</f>
        <v>100</v>
      </c>
      <c r="E11" s="7" t="s">
        <v>142</v>
      </c>
    </row>
    <row r="12" customFormat="false" ht="15" hidden="false" customHeight="false" outlineLevel="0" collapsed="false">
      <c r="A12" s="5" t="s">
        <v>143</v>
      </c>
      <c r="B12" s="17" t="n">
        <f aca="false">Assumptions!$B$27</f>
        <v>0</v>
      </c>
      <c r="C12" s="17" t="n">
        <f aca="false">Assumptions!$B$27</f>
        <v>0</v>
      </c>
      <c r="D12" s="17" t="n">
        <f aca="false">Assumptions!$B$27</f>
        <v>0</v>
      </c>
      <c r="E12" s="7" t="s">
        <v>144</v>
      </c>
    </row>
    <row r="13" customFormat="false" ht="15" hidden="false" customHeight="false" outlineLevel="0" collapsed="false">
      <c r="A13" s="18" t="s">
        <v>145</v>
      </c>
      <c r="B13" s="20" t="n">
        <f aca="false">SUM(B5:B12)</f>
        <v>1137.16666666667</v>
      </c>
      <c r="C13" s="20" t="n">
        <f aca="false">SUM(C5:C12)</f>
        <v>3505.91666666667</v>
      </c>
      <c r="D13" s="20" t="n">
        <f aca="false">SUM(D5:D12)</f>
        <v>7302.16666666667</v>
      </c>
      <c r="E13" s="19"/>
    </row>
    <row r="14" customFormat="false" ht="15" hidden="false" customHeight="false" outlineLevel="0" collapsed="false">
      <c r="A14" s="18" t="s">
        <v>146</v>
      </c>
      <c r="B14" s="20" t="n">
        <f aca="false">B13*12</f>
        <v>13646</v>
      </c>
      <c r="C14" s="20" t="n">
        <f aca="false">C13*12</f>
        <v>42071</v>
      </c>
      <c r="D14" s="20" t="n">
        <f aca="false">D13*12</f>
        <v>87626</v>
      </c>
      <c r="E14" s="19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46"/>
  </cols>
  <sheetData>
    <row r="1" customFormat="false" ht="25.5" hidden="false" customHeight="true" outlineLevel="0" collapsed="false">
      <c r="A1" s="1" t="s">
        <v>147</v>
      </c>
      <c r="B1" s="1"/>
      <c r="C1" s="1"/>
      <c r="D1" s="1"/>
      <c r="E1" s="1"/>
    </row>
    <row r="3" customFormat="false" ht="27.75" hidden="false" customHeight="true" outlineLevel="0" collapsed="false">
      <c r="A3" s="4" t="s">
        <v>148</v>
      </c>
      <c r="B3" s="4" t="s">
        <v>149</v>
      </c>
      <c r="C3" s="4" t="s">
        <v>150</v>
      </c>
      <c r="D3" s="4" t="s">
        <v>151</v>
      </c>
      <c r="E3" s="4" t="s">
        <v>79</v>
      </c>
    </row>
    <row r="4" customFormat="false" ht="15" hidden="false" customHeight="false" outlineLevel="0" collapsed="false">
      <c r="A4" s="5" t="s">
        <v>152</v>
      </c>
      <c r="B4" s="17" t="n">
        <f aca="false">Assumptions!$B$17*12</f>
        <v>30000</v>
      </c>
      <c r="C4" s="17" t="n">
        <f aca="false">Assumptions!$B$17*12</f>
        <v>30000</v>
      </c>
      <c r="D4" s="17" t="n">
        <f aca="false">Assumptions!$B$17*12</f>
        <v>30000</v>
      </c>
      <c r="E4" s="7" t="s">
        <v>153</v>
      </c>
    </row>
    <row r="5" customFormat="false" ht="15" hidden="false" customHeight="false" outlineLevel="0" collapsed="false">
      <c r="A5" s="5" t="s">
        <v>154</v>
      </c>
      <c r="B5" s="17" t="n">
        <f aca="false">Assumptions!$B$19*12</f>
        <v>7200</v>
      </c>
      <c r="C5" s="17" t="n">
        <f aca="false">Assumptions!$B$19*12</f>
        <v>7200</v>
      </c>
      <c r="D5" s="17" t="n">
        <f aca="false">Assumptions!$B$19*12</f>
        <v>7200</v>
      </c>
      <c r="E5" s="7" t="s">
        <v>155</v>
      </c>
    </row>
    <row r="6" customFormat="false" ht="15" hidden="false" customHeight="false" outlineLevel="0" collapsed="false">
      <c r="A6" s="5" t="s">
        <v>156</v>
      </c>
      <c r="B6" s="8" t="n">
        <v>1200</v>
      </c>
      <c r="C6" s="8" t="n">
        <v>1200</v>
      </c>
      <c r="D6" s="8" t="n">
        <v>1200</v>
      </c>
      <c r="E6" s="7" t="s">
        <v>157</v>
      </c>
    </row>
    <row r="7" customFormat="false" ht="15" hidden="false" customHeight="false" outlineLevel="0" collapsed="false">
      <c r="A7" s="5" t="s">
        <v>158</v>
      </c>
      <c r="B7" s="8" t="n">
        <v>2500</v>
      </c>
      <c r="C7" s="8" t="n">
        <v>2500</v>
      </c>
      <c r="D7" s="8" t="n">
        <v>2500</v>
      </c>
      <c r="E7" s="7" t="s">
        <v>159</v>
      </c>
    </row>
    <row r="8" customFormat="false" ht="15" hidden="false" customHeight="false" outlineLevel="0" collapsed="false">
      <c r="A8" s="5" t="s">
        <v>160</v>
      </c>
      <c r="B8" s="8" t="n">
        <v>4000</v>
      </c>
      <c r="C8" s="8" t="n">
        <v>4000</v>
      </c>
      <c r="D8" s="8" t="n">
        <v>4000</v>
      </c>
      <c r="E8" s="7" t="s">
        <v>161</v>
      </c>
    </row>
    <row r="9" customFormat="false" ht="15" hidden="false" customHeight="false" outlineLevel="0" collapsed="false">
      <c r="A9" s="5" t="s">
        <v>162</v>
      </c>
      <c r="B9" s="8" t="n">
        <v>1200</v>
      </c>
      <c r="C9" s="8" t="n">
        <v>1200</v>
      </c>
      <c r="D9" s="8" t="n">
        <v>1200</v>
      </c>
      <c r="E9" s="7" t="s">
        <v>163</v>
      </c>
    </row>
    <row r="10" customFormat="false" ht="15" hidden="false" customHeight="false" outlineLevel="0" collapsed="false">
      <c r="A10" s="18" t="s">
        <v>164</v>
      </c>
      <c r="B10" s="20" t="n">
        <f aca="false">SUM(B4:B9)</f>
        <v>46100</v>
      </c>
      <c r="C10" s="20" t="n">
        <f aca="false">SUM(C4:C9)</f>
        <v>46100</v>
      </c>
      <c r="D10" s="20" t="n">
        <f aca="false">SUM(D4:D9)</f>
        <v>46100</v>
      </c>
      <c r="E10" s="19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7" min="6" style="0" width="20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166</v>
      </c>
    </row>
    <row r="4" customFormat="false" ht="27.75" hidden="false" customHeight="true" outlineLevel="0" collapsed="false">
      <c r="A4" s="4" t="s">
        <v>167</v>
      </c>
      <c r="B4" s="4" t="s">
        <v>168</v>
      </c>
      <c r="C4" s="4" t="s">
        <v>169</v>
      </c>
      <c r="D4" s="4" t="s">
        <v>170</v>
      </c>
      <c r="E4" s="4" t="s">
        <v>171</v>
      </c>
      <c r="F4" s="4" t="s">
        <v>172</v>
      </c>
      <c r="G4" s="4" t="s">
        <v>173</v>
      </c>
      <c r="H4" s="4" t="s">
        <v>174</v>
      </c>
    </row>
    <row r="5" customFormat="false" ht="15" hidden="false" customHeight="false" outlineLevel="0" collapsed="false">
      <c r="A5" s="23" t="n">
        <v>1000</v>
      </c>
      <c r="B5" s="17" t="n">
        <f aca="false">Assumptions!$B$23+MAX(0,ROUNDUP(A5/Assumptions!$B$43,0)-1)*Assumptions!$B$24</f>
        <v>113</v>
      </c>
      <c r="C5" s="17" t="n">
        <f aca="false">A5*Assumptions!$B$33*Assumptions!$B$31/1000000*Assumptions!$B$32</f>
        <v>112</v>
      </c>
      <c r="D5" s="17" t="n">
        <f aca="false">Assumptions!$B$35+A5*Assumptions!$B$37*Assumptions!$B$36</f>
        <v>360</v>
      </c>
      <c r="E5" s="24" t="n">
        <f aca="false">ROUNDUP(A5/Assumptions!$B$43,0)*Assumptions!$B$44</f>
        <v>1</v>
      </c>
      <c r="F5" s="14" t="n">
        <f aca="false">E5*((TeamPayroll!$E$7*12+TeamPayroll!$E$7*12*IF(TeamPayroll!$E$7&lt;=5000,Assumptions!$B$6,Assumptions!$B$7)+MIN(TeamPayroll!$E$7,Assumptions!$B$9)*Assumptions!$B$8*12+MIN(TeamPayroll!$E$7,Assumptions!$B$11)*Assumptions!$B$10*12+TeamPayroll!$E$7*Assumptions!$B$12+Assumptions!$B$13)/12)</f>
        <v>3781.83333333333</v>
      </c>
      <c r="G5" s="25" t="n">
        <f aca="false">SUM(B5:D5)+F5</f>
        <v>4366.83333333333</v>
      </c>
      <c r="H5" s="26" t="n">
        <f aca="false">G5/A5</f>
        <v>4.36683333333333</v>
      </c>
    </row>
    <row r="6" customFormat="false" ht="15" hidden="false" customHeight="false" outlineLevel="0" collapsed="false">
      <c r="A6" s="23" t="n">
        <v>10000</v>
      </c>
      <c r="B6" s="17" t="n">
        <f aca="false">Assumptions!$B$23+MAX(0,ROUNDUP(A6/Assumptions!$B$43,0)-1)*Assumptions!$B$24</f>
        <v>113</v>
      </c>
      <c r="C6" s="17" t="n">
        <f aca="false">A6*Assumptions!$B$33*Assumptions!$B$31/1000000*Assumptions!$B$32</f>
        <v>1120</v>
      </c>
      <c r="D6" s="17" t="n">
        <f aca="false">Assumptions!$B$35+A6*Assumptions!$B$37*Assumptions!$B$36</f>
        <v>900</v>
      </c>
      <c r="E6" s="24" t="n">
        <f aca="false">ROUNDUP(A6/Assumptions!$B$43,0)*Assumptions!$B$44</f>
        <v>1</v>
      </c>
      <c r="F6" s="14" t="n">
        <f aca="false">E6*((TeamPayroll!$E$7*12+TeamPayroll!$E$7*12*IF(TeamPayroll!$E$7&lt;=5000,Assumptions!$B$6,Assumptions!$B$7)+MIN(TeamPayroll!$E$7,Assumptions!$B$9)*Assumptions!$B$8*12+MIN(TeamPayroll!$E$7,Assumptions!$B$11)*Assumptions!$B$10*12+TeamPayroll!$E$7*Assumptions!$B$12+Assumptions!$B$13)/12)</f>
        <v>3781.83333333333</v>
      </c>
      <c r="G6" s="25" t="n">
        <f aca="false">SUM(B6:D6)+F6</f>
        <v>5914.83333333333</v>
      </c>
      <c r="H6" s="26" t="n">
        <f aca="false">G6/A6</f>
        <v>0.591483333333333</v>
      </c>
    </row>
    <row r="7" customFormat="false" ht="15" hidden="false" customHeight="false" outlineLevel="0" collapsed="false">
      <c r="A7" s="23" t="n">
        <v>20000</v>
      </c>
      <c r="B7" s="17" t="n">
        <f aca="false">Assumptions!$B$23+MAX(0,ROUNDUP(A7/Assumptions!$B$43,0)-1)*Assumptions!$B$24</f>
        <v>263</v>
      </c>
      <c r="C7" s="17" t="n">
        <f aca="false">A7*Assumptions!$B$33*Assumptions!$B$31/1000000*Assumptions!$B$32</f>
        <v>2240</v>
      </c>
      <c r="D7" s="17" t="n">
        <f aca="false">Assumptions!$B$35+A7*Assumptions!$B$37*Assumptions!$B$36</f>
        <v>1500</v>
      </c>
      <c r="E7" s="24" t="n">
        <f aca="false">ROUNDUP(A7/Assumptions!$B$43,0)*Assumptions!$B$44</f>
        <v>2</v>
      </c>
      <c r="F7" s="14" t="n">
        <f aca="false">E7*((TeamPayroll!$E$7*12+TeamPayroll!$E$7*12*IF(TeamPayroll!$E$7&lt;=5000,Assumptions!$B$6,Assumptions!$B$7)+MIN(TeamPayroll!$E$7,Assumptions!$B$9)*Assumptions!$B$8*12+MIN(TeamPayroll!$E$7,Assumptions!$B$11)*Assumptions!$B$10*12+TeamPayroll!$E$7*Assumptions!$B$12+Assumptions!$B$13)/12)</f>
        <v>7563.66666666667</v>
      </c>
      <c r="G7" s="25" t="n">
        <f aca="false">SUM(B7:D7)+F7</f>
        <v>11566.6666666667</v>
      </c>
      <c r="H7" s="26" t="n">
        <f aca="false">G7/A7</f>
        <v>0.578333333333333</v>
      </c>
    </row>
    <row r="8" customFormat="false" ht="15" hidden="false" customHeight="false" outlineLevel="0" collapsed="false">
      <c r="A8" s="23" t="n">
        <v>30000</v>
      </c>
      <c r="B8" s="17" t="n">
        <f aca="false">Assumptions!$B$23+MAX(0,ROUNDUP(A8/Assumptions!$B$43,0)-1)*Assumptions!$B$24</f>
        <v>413</v>
      </c>
      <c r="C8" s="17" t="n">
        <f aca="false">A8*Assumptions!$B$33*Assumptions!$B$31/1000000*Assumptions!$B$32</f>
        <v>3360</v>
      </c>
      <c r="D8" s="17" t="n">
        <f aca="false">Assumptions!$B$35+A8*Assumptions!$B$37*Assumptions!$B$36</f>
        <v>2100</v>
      </c>
      <c r="E8" s="24" t="n">
        <f aca="false">ROUNDUP(A8/Assumptions!$B$43,0)*Assumptions!$B$44</f>
        <v>3</v>
      </c>
      <c r="F8" s="14" t="n">
        <f aca="false">E8*((TeamPayroll!$E$7*12+TeamPayroll!$E$7*12*IF(TeamPayroll!$E$7&lt;=5000,Assumptions!$B$6,Assumptions!$B$7)+MIN(TeamPayroll!$E$7,Assumptions!$B$9)*Assumptions!$B$8*12+MIN(TeamPayroll!$E$7,Assumptions!$B$11)*Assumptions!$B$10*12+TeamPayroll!$E$7*Assumptions!$B$12+Assumptions!$B$13)/12)</f>
        <v>11345.5</v>
      </c>
      <c r="G8" s="25" t="n">
        <f aca="false">SUM(B8:D8)+F8</f>
        <v>17218.5</v>
      </c>
      <c r="H8" s="26" t="n">
        <f aca="false">G8/A8</f>
        <v>0.57395</v>
      </c>
    </row>
    <row r="9" customFormat="false" ht="15" hidden="false" customHeight="false" outlineLevel="0" collapsed="false">
      <c r="A9" s="23" t="n">
        <v>50000</v>
      </c>
      <c r="B9" s="17" t="n">
        <f aca="false">Assumptions!$B$23+MAX(0,ROUNDUP(A9/Assumptions!$B$43,0)-1)*Assumptions!$B$24</f>
        <v>713</v>
      </c>
      <c r="C9" s="17" t="n">
        <f aca="false">A9*Assumptions!$B$33*Assumptions!$B$31/1000000*Assumptions!$B$32</f>
        <v>5600</v>
      </c>
      <c r="D9" s="17" t="n">
        <f aca="false">Assumptions!$B$35+A9*Assumptions!$B$37*Assumptions!$B$36</f>
        <v>3300</v>
      </c>
      <c r="E9" s="24" t="n">
        <f aca="false">ROUNDUP(A9/Assumptions!$B$43,0)*Assumptions!$B$44</f>
        <v>5</v>
      </c>
      <c r="F9" s="14" t="n">
        <f aca="false">E9*((TeamPayroll!$E$7*12+TeamPayroll!$E$7*12*IF(TeamPayroll!$E$7&lt;=5000,Assumptions!$B$6,Assumptions!$B$7)+MIN(TeamPayroll!$E$7,Assumptions!$B$9)*Assumptions!$B$8*12+MIN(TeamPayroll!$E$7,Assumptions!$B$11)*Assumptions!$B$10*12+TeamPayroll!$E$7*Assumptions!$B$12+Assumptions!$B$13)/12)</f>
        <v>18909.1666666667</v>
      </c>
      <c r="G9" s="25" t="n">
        <f aca="false">SUM(B9:D9)+F9</f>
        <v>28522.1666666667</v>
      </c>
      <c r="H9" s="26" t="n">
        <f aca="false">G9/A9</f>
        <v>0.570443333333333</v>
      </c>
    </row>
    <row r="10" customFormat="false" ht="15" hidden="false" customHeight="false" outlineLevel="0" collapsed="false">
      <c r="A10" s="23" t="n">
        <v>100000</v>
      </c>
      <c r="B10" s="17" t="n">
        <f aca="false">Assumptions!$B$23+MAX(0,ROUNDUP(A10/Assumptions!$B$43,0)-1)*Assumptions!$B$24</f>
        <v>1463</v>
      </c>
      <c r="C10" s="17" t="n">
        <f aca="false">A10*Assumptions!$B$33*Assumptions!$B$31/1000000*Assumptions!$B$32</f>
        <v>11200</v>
      </c>
      <c r="D10" s="17" t="n">
        <f aca="false">Assumptions!$B$35+A10*Assumptions!$B$37*Assumptions!$B$36</f>
        <v>6300</v>
      </c>
      <c r="E10" s="24" t="n">
        <f aca="false">ROUNDUP(A10/Assumptions!$B$43,0)*Assumptions!$B$44</f>
        <v>10</v>
      </c>
      <c r="F10" s="14" t="n">
        <f aca="false">E10*((TeamPayroll!$E$7*12+TeamPayroll!$E$7*12*IF(TeamPayroll!$E$7&lt;=5000,Assumptions!$B$6,Assumptions!$B$7)+MIN(TeamPayroll!$E$7,Assumptions!$B$9)*Assumptions!$B$8*12+MIN(TeamPayroll!$E$7,Assumptions!$B$11)*Assumptions!$B$10*12+TeamPayroll!$E$7*Assumptions!$B$12+Assumptions!$B$13)/12)</f>
        <v>37818.3333333333</v>
      </c>
      <c r="G10" s="25" t="n">
        <f aca="false">SUM(B10:D10)+F10</f>
        <v>56781.3333333333</v>
      </c>
      <c r="H10" s="26" t="n">
        <f aca="false">G10/A10</f>
        <v>0.567813333333333</v>
      </c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2" t="s">
        <v>175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20"/>
  </cols>
  <sheetData>
    <row r="1" customFormat="false" ht="25.5" hidden="false" customHeight="true" outlineLevel="0" collapsed="false">
      <c r="A1" s="1" t="s">
        <v>176</v>
      </c>
      <c r="B1" s="1"/>
      <c r="C1" s="1"/>
      <c r="D1" s="1"/>
      <c r="E1" s="1"/>
    </row>
    <row r="3" customFormat="false" ht="27.75" hidden="false" customHeight="true" outlineLevel="0" collapsed="false">
      <c r="A3" s="4" t="s">
        <v>177</v>
      </c>
      <c r="B3" s="4" t="s">
        <v>149</v>
      </c>
      <c r="C3" s="4" t="s">
        <v>150</v>
      </c>
      <c r="D3" s="4" t="s">
        <v>151</v>
      </c>
      <c r="E3" s="4" t="s">
        <v>178</v>
      </c>
    </row>
    <row r="4" customFormat="false" ht="15" hidden="false" customHeight="false" outlineLevel="0" collapsed="false">
      <c r="A4" s="5" t="s">
        <v>179</v>
      </c>
      <c r="B4" s="14" t="n">
        <f aca="false">GroundZeroSetup!$D$15</f>
        <v>37780</v>
      </c>
      <c r="C4" s="14" t="s">
        <v>180</v>
      </c>
      <c r="D4" s="14" t="s">
        <v>180</v>
      </c>
      <c r="E4" s="17" t="n">
        <f aca="false">SUM(B4:D4)</f>
        <v>37780</v>
      </c>
    </row>
    <row r="5" customFormat="false" ht="15" hidden="false" customHeight="false" outlineLevel="0" collapsed="false">
      <c r="A5" s="5" t="s">
        <v>181</v>
      </c>
      <c r="B5" s="14" t="n">
        <f aca="false">TeamPayroll!$F$11</f>
        <v>315579.2</v>
      </c>
      <c r="C5" s="14" t="n">
        <f aca="false">TeamPayroll!$G$11</f>
        <v>503096.9</v>
      </c>
      <c r="D5" s="14" t="n">
        <f aca="false">TeamPayroll!$H$11</f>
        <v>663485.4</v>
      </c>
      <c r="E5" s="17" t="n">
        <f aca="false">SUM(B5:D5)</f>
        <v>1482161.5</v>
      </c>
    </row>
    <row r="6" customFormat="false" ht="15" hidden="false" customHeight="false" outlineLevel="0" collapsed="false">
      <c r="A6" s="5" t="s">
        <v>182</v>
      </c>
      <c r="B6" s="14" t="n">
        <f aca="false">HostingAPIs!$B$14</f>
        <v>13646</v>
      </c>
      <c r="C6" s="14" t="n">
        <f aca="false">HostingAPIs!$C$14</f>
        <v>42071</v>
      </c>
      <c r="D6" s="14" t="n">
        <f aca="false">HostingAPIs!$D$14</f>
        <v>87626</v>
      </c>
      <c r="E6" s="17" t="n">
        <f aca="false">SUM(B6:D6)</f>
        <v>143343</v>
      </c>
    </row>
    <row r="7" customFormat="false" ht="15" hidden="false" customHeight="false" outlineLevel="0" collapsed="false">
      <c r="A7" s="5" t="s">
        <v>183</v>
      </c>
      <c r="B7" s="14" t="n">
        <f aca="false">OfficeAdmin!$B$10</f>
        <v>46100</v>
      </c>
      <c r="C7" s="14" t="n">
        <f aca="false">OfficeAdmin!$C$10</f>
        <v>46100</v>
      </c>
      <c r="D7" s="14" t="n">
        <f aca="false">OfficeAdmin!$D$10</f>
        <v>46100</v>
      </c>
      <c r="E7" s="17" t="n">
        <f aca="false">SUM(B7:D7)</f>
        <v>138300</v>
      </c>
    </row>
    <row r="8" customFormat="false" ht="15" hidden="false" customHeight="false" outlineLevel="0" collapsed="false">
      <c r="A8" s="18" t="s">
        <v>184</v>
      </c>
      <c r="B8" s="20" t="n">
        <f aca="false">SUM(B4:B7)</f>
        <v>413105.2</v>
      </c>
      <c r="C8" s="20" t="n">
        <f aca="false">SUM(C4:C7)</f>
        <v>591267.9</v>
      </c>
      <c r="D8" s="20" t="n">
        <f aca="false">SUM(D4:D7)</f>
        <v>797211.4</v>
      </c>
      <c r="E8" s="20" t="n">
        <f aca="false">SUM(E4:E7)</f>
        <v>1801584.5</v>
      </c>
    </row>
    <row r="10" customFormat="false" ht="19.5" hidden="false" customHeight="true" outlineLevel="0" collapsed="false">
      <c r="A10" s="3" t="s">
        <v>185</v>
      </c>
      <c r="B10" s="3"/>
      <c r="C10" s="3"/>
      <c r="D10" s="3"/>
      <c r="E10" s="3"/>
    </row>
    <row r="11" customFormat="false" ht="15" hidden="false" customHeight="false" outlineLevel="0" collapsed="false">
      <c r="A11" s="5" t="s">
        <v>186</v>
      </c>
      <c r="B11" s="27" t="n">
        <f aca="false">Assumptions!$B$52</f>
        <v>0.2</v>
      </c>
    </row>
    <row r="12" customFormat="false" ht="15" hidden="false" customHeight="false" outlineLevel="0" collapsed="false">
      <c r="A12" s="18" t="s">
        <v>187</v>
      </c>
      <c r="B12" s="20" t="n">
        <f aca="false">B8*(1+$B$11)</f>
        <v>495726.24</v>
      </c>
      <c r="C12" s="20" t="n">
        <f aca="false">C8*(1+$B$11)</f>
        <v>709521.48</v>
      </c>
      <c r="D12" s="20" t="n">
        <f aca="false">D8*(1+$B$11)</f>
        <v>956653.68</v>
      </c>
      <c r="E12" s="20" t="n">
        <f aca="false">E8*(1+$B$11)</f>
        <v>2161901.4</v>
      </c>
    </row>
    <row r="14" customFormat="false" ht="25.5" hidden="false" customHeight="true" outlineLevel="0" collapsed="false">
      <c r="A14" s="28" t="s">
        <v>188</v>
      </c>
      <c r="B14" s="28"/>
      <c r="C14" s="28"/>
      <c r="D14" s="28"/>
      <c r="E14" s="29" t="n">
        <f aca="false">E12</f>
        <v>2161901.4</v>
      </c>
    </row>
    <row r="16" customFormat="false" ht="19.5" hidden="false" customHeight="true" outlineLevel="0" collapsed="false">
      <c r="A16" s="3" t="s">
        <v>189</v>
      </c>
      <c r="B16" s="3"/>
      <c r="C16" s="3"/>
      <c r="D16" s="3"/>
      <c r="E16" s="3"/>
    </row>
    <row r="17" customFormat="false" ht="27.75" hidden="false" customHeight="true" outlineLevel="0" collapsed="false">
      <c r="A17" s="4" t="s">
        <v>190</v>
      </c>
      <c r="B17" s="4" t="s">
        <v>191</v>
      </c>
      <c r="C17" s="4" t="s">
        <v>192</v>
      </c>
      <c r="D17" s="4" t="s">
        <v>193</v>
      </c>
      <c r="E17" s="4"/>
    </row>
    <row r="18" customFormat="false" ht="15" hidden="false" customHeight="false" outlineLevel="0" collapsed="false">
      <c r="A18" s="5" t="s">
        <v>194</v>
      </c>
      <c r="B18" s="5" t="s">
        <v>195</v>
      </c>
      <c r="C18" s="6" t="n">
        <v>0.4</v>
      </c>
      <c r="D18" s="17" t="n">
        <f aca="false">$B$12*C18</f>
        <v>198290.496</v>
      </c>
    </row>
    <row r="19" customFormat="false" ht="15" hidden="false" customHeight="false" outlineLevel="0" collapsed="false">
      <c r="A19" s="5" t="s">
        <v>196</v>
      </c>
      <c r="B19" s="5" t="s">
        <v>197</v>
      </c>
      <c r="C19" s="6" t="n">
        <v>0.3</v>
      </c>
      <c r="D19" s="17" t="n">
        <f aca="false">$B$12*C19</f>
        <v>148717.872</v>
      </c>
    </row>
    <row r="20" customFormat="false" ht="15" hidden="false" customHeight="false" outlineLevel="0" collapsed="false">
      <c r="A20" s="5" t="s">
        <v>198</v>
      </c>
      <c r="B20" s="5" t="s">
        <v>199</v>
      </c>
      <c r="C20" s="6" t="n">
        <v>0.3</v>
      </c>
      <c r="D20" s="17" t="n">
        <f aca="false">$B$12*C20</f>
        <v>148717.872</v>
      </c>
    </row>
    <row r="21" customFormat="false" ht="15" hidden="false" customHeight="false" outlineLevel="0" collapsed="false">
      <c r="A21" s="5" t="s">
        <v>200</v>
      </c>
      <c r="B21" s="5" t="s">
        <v>201</v>
      </c>
      <c r="C21" s="5"/>
      <c r="D21" s="17" t="n">
        <f aca="false">$C$12/12</f>
        <v>59126.79</v>
      </c>
    </row>
    <row r="22" customFormat="false" ht="15" hidden="false" customHeight="false" outlineLevel="0" collapsed="false">
      <c r="A22" s="5" t="s">
        <v>202</v>
      </c>
      <c r="B22" s="5" t="s">
        <v>201</v>
      </c>
      <c r="C22" s="5"/>
      <c r="D22" s="17" t="n">
        <f aca="false">$D$12/12</f>
        <v>79721.14</v>
      </c>
    </row>
    <row r="24" customFormat="false" ht="15" hidden="false" customHeight="false" outlineLevel="0" collapsed="false">
      <c r="A24" s="30" t="s">
        <v>203</v>
      </c>
    </row>
    <row r="25" customFormat="false" ht="15" hidden="false" customHeight="false" outlineLevel="0" collapsed="false">
      <c r="A25" s="31" t="s">
        <v>204</v>
      </c>
      <c r="B25" s="31"/>
      <c r="C25" s="31"/>
      <c r="D25" s="31"/>
      <c r="E25" s="31"/>
    </row>
    <row r="26" customFormat="false" ht="15" hidden="false" customHeight="false" outlineLevel="0" collapsed="false">
      <c r="A26" s="31" t="s">
        <v>205</v>
      </c>
      <c r="B26" s="31"/>
      <c r="C26" s="31"/>
      <c r="D26" s="31"/>
      <c r="E26" s="31"/>
    </row>
    <row r="27" customFormat="false" ht="15" hidden="false" customHeight="false" outlineLevel="0" collapsed="false">
      <c r="A27" s="31" t="s">
        <v>206</v>
      </c>
      <c r="B27" s="31"/>
      <c r="C27" s="31"/>
      <c r="D27" s="31"/>
      <c r="E27" s="31"/>
    </row>
    <row r="28" customFormat="false" ht="15" hidden="false" customHeight="false" outlineLevel="0" collapsed="false">
      <c r="A28" s="31" t="s">
        <v>207</v>
      </c>
      <c r="B28" s="31"/>
      <c r="C28" s="31"/>
      <c r="D28" s="31"/>
      <c r="E28" s="31"/>
    </row>
  </sheetData>
  <mergeCells count="8">
    <mergeCell ref="A1:E1"/>
    <mergeCell ref="A10:E10"/>
    <mergeCell ref="A14:D14"/>
    <mergeCell ref="A16:E16"/>
    <mergeCell ref="A25:E25"/>
    <mergeCell ref="A26:E26"/>
    <mergeCell ref="A27:E27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2026-08-14T07:38:58Z</dcterms:created>
  <dc:creator>openpyxl</dc:creator>
  <dc:description/>
  <dc:language>en-US</dc:language>
  <cp:lastModifiedBy/>
  <dcterms:modified xsi:type="dcterms:W3CDTF">2026-08-14T07:38:58Z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